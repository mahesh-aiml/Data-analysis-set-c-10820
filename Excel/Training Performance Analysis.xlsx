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_exam\Excel\"/>
    </mc:Choice>
  </mc:AlternateContent>
  <xr:revisionPtr revIDLastSave="0" documentId="8_{B46A8398-6393-4595-AA30-5C979199DEC3}" xr6:coauthVersionLast="47" xr6:coauthVersionMax="47" xr10:uidLastSave="{00000000-0000-0000-0000-000000000000}"/>
  <bookViews>
    <workbookView xWindow="-120" yWindow="-120" windowWidth="29040" windowHeight="15720" activeTab="3" xr2:uid="{D67DCD6E-76BE-4C41-9F38-B9F6E31CDF2A}"/>
  </bookViews>
  <sheets>
    <sheet name="raw" sheetId="1" r:id="rId1"/>
    <sheet name="lookup" sheetId="2" r:id="rId2"/>
    <sheet name="claen" sheetId="3" r:id="rId3"/>
    <sheet name="summary_sheet" sheetId="6" r:id="rId4"/>
  </sheets>
  <definedNames>
    <definedName name="_xlnm._FilterDatabase" localSheetId="2" hidden="1">claen!$A$1:$F$13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3" l="1"/>
  <c r="G10" i="3"/>
  <c r="G11" i="3"/>
  <c r="G12" i="3"/>
  <c r="G13" i="3"/>
  <c r="G3" i="3"/>
  <c r="G4" i="3"/>
  <c r="G5" i="3"/>
  <c r="G6" i="3"/>
  <c r="G7" i="3"/>
  <c r="G8" i="3"/>
  <c r="G2" i="3"/>
  <c r="H2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<sst xmlns="http://schemas.openxmlformats.org/spreadsheetml/2006/main" count="114" uniqueCount="29">
  <si>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</si>
  <si>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</si>
  <si>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</si>
  <si>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</si>
  <si>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</si>
  <si>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</si>
  <si>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</si>
  <si>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</si>
  <si>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</si>
  <si>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</si>
  <si>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</si>
  <si>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</si>
  <si>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</si>
  <si>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</si>
  <si>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</si>
  <si>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</si>
  <si>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</si>
  <si>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</si>
  <si>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</si>
  <si>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</si>
  <si>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</si>
  <si>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</si>
  <si>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</si>
  <si>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</si>
  <si>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pass_flag</t>
  </si>
  <si>
    <t>Sum of score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</si>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</sst>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 Performance Analysis.xlsx]summary_sheet!PivotTable1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100" baseline="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700">
                <a:ln>
                  <a:solidFill>
                    <a:schemeClr val="tx1"/>
                  </a:solidFill>
                </a:ln>
                <a:solidFill>
                  <a:schemeClr val="bg1"/>
                </a:solidFill>
              </a:rPr>
              <a:t>Month wise Department  Score</a:t>
            </a:r>
          </a:p>
        </c:rich>
      </c:tx>
      <c:layout>
        <c:manualLayout>
          <c:xMode val="edge"/>
          <c:yMode val="edge"/>
          <c:x val="0.28356807511737087"/>
          <c:y val="3.6089238845144356E-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100" baseline="0">
              <a:ln>
                <a:solidFill>
                  <a:schemeClr val="tx1"/>
                </a:solidFill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665298879893535"/>
          <c:y val="0.12439596092155145"/>
          <c:w val="0.76304184688181587"/>
          <c:h val="0.6390168416447943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summary_sheet!$B$3:$B$4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summary_sheet!$A$5:$A$7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summary_sheet!$B$5:$B$7</c:f>
              <c:numCache>
                <c:formatCode>General</c:formatCode>
                <c:ptCount val="2"/>
                <c:pt idx="0">
                  <c:v>117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8-4E0D-AEE0-A9160DF38204}"/>
            </c:ext>
          </c:extLst>
        </c:ser>
        <c:ser>
          <c:idx val="1"/>
          <c:order val="1"/>
          <c:tx>
            <c:strRef>
              <c:f>summary_sheet!$C$3:$C$4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summary_sheet!$A$5:$A$7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summary_sheet!$C$5:$C$7</c:f>
              <c:numCache>
                <c:formatCode>General</c:formatCode>
                <c:ptCount val="2"/>
                <c:pt idx="0">
                  <c:v>135</c:v>
                </c:pt>
                <c:pt idx="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8-4E0D-AEE0-A9160DF38204}"/>
            </c:ext>
          </c:extLst>
        </c:ser>
        <c:ser>
          <c:idx val="2"/>
          <c:order val="2"/>
          <c:tx>
            <c:strRef>
              <c:f>summary_sheet!$D$3:$D$4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summary_sheet!$A$5:$A$7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summary_sheet!$D$5:$D$7</c:f>
              <c:numCache>
                <c:formatCode>General</c:formatCode>
                <c:ptCount val="2"/>
                <c:pt idx="0">
                  <c:v>150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78-4E0D-AEE0-A9160DF38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0476255"/>
        <c:axId val="1442789839"/>
        <c:axId val="0"/>
      </c:bar3DChart>
      <c:catAx>
        <c:axId val="178047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n>
                      <a:noFill/>
                    </a:ln>
                    <a:solidFill>
                      <a:schemeClr val="bg1"/>
                    </a:solidFill>
                  </a:rPr>
                  <a:t>Department</a:t>
                </a:r>
              </a:p>
            </c:rich>
          </c:tx>
          <c:layout>
            <c:manualLayout>
              <c:xMode val="edge"/>
              <c:yMode val="edge"/>
              <c:x val="0.41734760267642601"/>
              <c:y val="0.87214202391367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89839"/>
        <c:crosses val="autoZero"/>
        <c:auto val="1"/>
        <c:lblAlgn val="ctr"/>
        <c:lblOffset val="100"/>
        <c:noMultiLvlLbl val="0"/>
      </c:catAx>
      <c:valAx>
        <c:axId val="14427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bg1"/>
                    </a:solidFill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2.4527374219067689E-2"/>
              <c:y val="0.423866652085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7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10</xdr:col>
      <xdr:colOff>276225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8ACBF-2435-B15D-902F-3505AE77C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5.506648032409" createdVersion="8" refreshedVersion="8" minRefreshableVersion="3" recordCount="12" xr:uid="{8BBB8CC3-D376-48B3-B51D-A2F74BA409BA}">
  <cacheSource type="worksheet">
    <worksheetSource ref="A1:H13" sheet="claen"/>
  </cacheSource>
  <cacheFields count="8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department" numFmtId="0">
      <sharedItems count="2">
        <s v="Business"/>
        <s v="Technology"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CEABE-E61D-4EA6-A4C7-79F1192B0F0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7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core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A87D-51DD-4C09-AF9E-61CD5212D2DB}">
  <dimension ref="A1:G14"/>
  <sheetViews>
    <sheetView workbookViewId="0">
      <selection activeCell="D36" sqref="D36"/>
    </sheetView>
  </sheetViews>
  <sheetFormatPr defaultColWidth="12" defaultRowHeight="15" x14ac:dyDescent="0.25"/>
  <cols>
    <col min="1" max="1" width="14.5703125" style="3" bestFit="1" customWidth="1"/>
    <col min="2" max="2" width="6.85546875" bestFit="1" customWidth="1"/>
    <col min="3" max="3" width="9.7109375" bestFit="1" customWidth="1"/>
    <col min="4" max="4" width="9" bestFit="1" customWidth="1"/>
    <col min="5" max="5" width="6" bestFit="1" customWidth="1"/>
    <col min="6" max="6" width="1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3">
        <v>1</v>
      </c>
      <c r="B2" t="s">
        <v>6</v>
      </c>
      <c r="C2" t="s">
        <v>7</v>
      </c>
      <c r="D2" t="s">
        <v>8</v>
      </c>
      <c r="E2">
        <v>72</v>
      </c>
      <c r="F2">
        <v>90</v>
      </c>
    </row>
    <row r="3" spans="1:7" x14ac:dyDescent="0.25">
      <c r="A3" s="3">
        <v>2</v>
      </c>
      <c r="B3" t="s">
        <v>6</v>
      </c>
      <c r="C3" t="s">
        <v>9</v>
      </c>
      <c r="D3" t="s">
        <v>10</v>
      </c>
      <c r="E3">
        <v>45</v>
      </c>
      <c r="F3">
        <v>70</v>
      </c>
    </row>
    <row r="4" spans="1:7" x14ac:dyDescent="0.25">
      <c r="A4" s="3">
        <v>3</v>
      </c>
      <c r="B4" t="s">
        <v>6</v>
      </c>
      <c r="C4" t="s">
        <v>11</v>
      </c>
      <c r="D4" t="s">
        <v>8</v>
      </c>
      <c r="E4">
        <v>65</v>
      </c>
      <c r="F4">
        <v>85</v>
      </c>
    </row>
    <row r="5" spans="1:7" x14ac:dyDescent="0.25">
      <c r="A5" s="3">
        <v>4</v>
      </c>
      <c r="B5" t="s">
        <v>6</v>
      </c>
      <c r="C5" t="s">
        <v>12</v>
      </c>
      <c r="D5" t="s">
        <v>13</v>
      </c>
      <c r="E5">
        <v>38</v>
      </c>
      <c r="F5">
        <v>60</v>
      </c>
    </row>
    <row r="6" spans="1:7" x14ac:dyDescent="0.25">
      <c r="A6" s="3">
        <v>5</v>
      </c>
      <c r="B6" t="s">
        <v>14</v>
      </c>
      <c r="C6" t="s">
        <v>7</v>
      </c>
      <c r="D6" t="s">
        <v>10</v>
      </c>
      <c r="E6">
        <v>80</v>
      </c>
      <c r="F6">
        <v>95</v>
      </c>
    </row>
    <row r="7" spans="1:7" x14ac:dyDescent="0.25">
      <c r="A7" s="3">
        <v>6</v>
      </c>
      <c r="B7" t="s">
        <v>14</v>
      </c>
      <c r="C7" t="s">
        <v>9</v>
      </c>
      <c r="D7" t="s">
        <v>13</v>
      </c>
      <c r="E7">
        <v>55</v>
      </c>
      <c r="F7">
        <v>80</v>
      </c>
    </row>
    <row r="8" spans="1:7" x14ac:dyDescent="0.25">
      <c r="A8" s="3">
        <v>7</v>
      </c>
      <c r="B8" t="s">
        <v>14</v>
      </c>
      <c r="C8" t="s">
        <v>11</v>
      </c>
      <c r="D8" t="s">
        <v>8</v>
      </c>
      <c r="E8">
        <v>48</v>
      </c>
      <c r="F8">
        <v>75</v>
      </c>
    </row>
    <row r="9" spans="1:7" x14ac:dyDescent="0.25">
      <c r="A9" s="3">
        <v>8</v>
      </c>
      <c r="B9" t="s">
        <v>14</v>
      </c>
      <c r="C9" t="s">
        <v>12</v>
      </c>
      <c r="D9" t="s">
        <v>10</v>
      </c>
      <c r="E9">
        <v>68</v>
      </c>
      <c r="F9">
        <v>88</v>
      </c>
    </row>
    <row r="10" spans="1:7" x14ac:dyDescent="0.25">
      <c r="A10" s="3">
        <v>9</v>
      </c>
      <c r="B10" t="s">
        <v>15</v>
      </c>
      <c r="C10" t="s">
        <v>7</v>
      </c>
      <c r="D10" t="s">
        <v>13</v>
      </c>
      <c r="E10">
        <v>90</v>
      </c>
      <c r="F10">
        <v>98</v>
      </c>
    </row>
    <row r="11" spans="1:7" x14ac:dyDescent="0.25">
      <c r="A11" s="3">
        <v>10</v>
      </c>
      <c r="B11" t="s">
        <v>15</v>
      </c>
      <c r="C11" t="s">
        <v>9</v>
      </c>
      <c r="D11" t="s">
        <v>8</v>
      </c>
      <c r="E11">
        <v>60</v>
      </c>
      <c r="F11">
        <v>82</v>
      </c>
    </row>
    <row r="12" spans="1:7" x14ac:dyDescent="0.25">
      <c r="A12" s="3">
        <v>11</v>
      </c>
      <c r="B12" t="s">
        <v>15</v>
      </c>
      <c r="C12" t="s">
        <v>11</v>
      </c>
      <c r="D12" t="s">
        <v>10</v>
      </c>
      <c r="E12">
        <v>75</v>
      </c>
      <c r="F12">
        <v>92</v>
      </c>
    </row>
    <row r="13" spans="1:7" x14ac:dyDescent="0.25">
      <c r="A13" s="3">
        <v>12</v>
      </c>
      <c r="B13" t="s">
        <v>15</v>
      </c>
      <c r="C13" t="s">
        <v>12</v>
      </c>
      <c r="D13" t="s">
        <v>13</v>
      </c>
      <c r="E13">
        <v>42</v>
      </c>
      <c r="F13">
        <v>65</v>
      </c>
    </row>
    <row r="14" spans="1:7" x14ac:dyDescent="0.25">
      <c r="A14" s="3">
        <v>12</v>
      </c>
      <c r="B14" t="s">
        <v>15</v>
      </c>
      <c r="C14" t="s">
        <v>12</v>
      </c>
      <c r="D14" t="s">
        <v>13</v>
      </c>
      <c r="E14">
        <v>42</v>
      </c>
      <c r="F14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4301-40CD-4837-A247-6943AEB6A487}">
  <dimension ref="A1:C5"/>
  <sheetViews>
    <sheetView workbookViewId="0">
      <selection activeCell="D37" sqref="D37"/>
    </sheetView>
  </sheetViews>
  <sheetFormatPr defaultColWidth="11.5703125" defaultRowHeight="15" x14ac:dyDescent="0.25"/>
  <cols>
    <col min="1" max="1" width="9.5703125" bestFit="1" customWidth="1"/>
    <col min="2" max="2" width="8.140625" bestFit="1" customWidth="1"/>
    <col min="3" max="3" width="11.140625" bestFit="1" customWidth="1"/>
  </cols>
  <sheetData>
    <row r="1" spans="1:3" x14ac:dyDescent="0.25">
      <c r="A1" s="1" t="s">
        <v>2</v>
      </c>
      <c r="B1" s="1" t="s">
        <v>16</v>
      </c>
      <c r="C1" s="1" t="s">
        <v>17</v>
      </c>
    </row>
    <row r="2" spans="1:3" x14ac:dyDescent="0.25">
      <c r="A2" t="s">
        <v>7</v>
      </c>
      <c r="B2" t="s">
        <v>18</v>
      </c>
      <c r="C2" t="s">
        <v>19</v>
      </c>
    </row>
    <row r="3" spans="1:3" x14ac:dyDescent="0.25">
      <c r="A3" t="s">
        <v>9</v>
      </c>
      <c r="B3" t="s">
        <v>20</v>
      </c>
      <c r="C3" t="s">
        <v>19</v>
      </c>
    </row>
    <row r="4" spans="1:3" x14ac:dyDescent="0.25">
      <c r="A4" t="s">
        <v>11</v>
      </c>
      <c r="B4" t="s">
        <v>21</v>
      </c>
      <c r="C4" t="s">
        <v>22</v>
      </c>
    </row>
    <row r="5" spans="1:3" x14ac:dyDescent="0.25">
      <c r="A5" t="s">
        <v>12</v>
      </c>
      <c r="B5" t="s">
        <v>23</v>
      </c>
      <c r="C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7CBF-EED9-4AB6-802C-3DDA43E651CF}">
  <dimension ref="A1:H13"/>
  <sheetViews>
    <sheetView zoomScale="108" workbookViewId="0">
      <selection activeCell="I2" sqref="I2"/>
    </sheetView>
  </sheetViews>
  <sheetFormatPr defaultColWidth="17.28515625" defaultRowHeight="15" x14ac:dyDescent="0.25"/>
  <cols>
    <col min="1" max="1" width="14.5703125" bestFit="1" customWidth="1"/>
    <col min="2" max="2" width="6.85546875" bestFit="1" customWidth="1"/>
    <col min="3" max="3" width="9.7109375" bestFit="1" customWidth="1"/>
    <col min="4" max="4" width="9" bestFit="1" customWidth="1"/>
    <col min="5" max="5" width="6" bestFit="1" customWidth="1"/>
    <col min="6" max="6" width="15" bestFit="1" customWidth="1"/>
    <col min="8" max="8" width="17.28515625" style="3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  <c r="H1" s="2" t="s">
        <v>24</v>
      </c>
    </row>
    <row r="2" spans="1:8" x14ac:dyDescent="0.25">
      <c r="A2" s="3">
        <v>1</v>
      </c>
      <c r="B2" t="s">
        <v>6</v>
      </c>
      <c r="C2" t="s">
        <v>7</v>
      </c>
      <c r="D2" t="s">
        <v>8</v>
      </c>
      <c r="E2">
        <v>72</v>
      </c>
      <c r="F2">
        <v>90</v>
      </c>
      <c r="G2" t="str">
        <f>_xlfn.XLOOKUP(C2,lookup!$A$2:$A$5,lookup!$C$2:$C$5)</f>
        <v>Business</v>
      </c>
      <c r="H2" s="3" cm="1">
        <f t="array" ref="H2:H13">IF(E2:E13&gt;=50,1,0)</f>
        <v>1</v>
      </c>
    </row>
    <row r="3" spans="1:8" x14ac:dyDescent="0.25">
      <c r="A3" s="3">
        <v>2</v>
      </c>
      <c r="B3" t="s">
        <v>6</v>
      </c>
      <c r="C3" t="s">
        <v>9</v>
      </c>
      <c r="D3" t="s">
        <v>10</v>
      </c>
      <c r="E3">
        <v>45</v>
      </c>
      <c r="F3">
        <v>70</v>
      </c>
      <c r="G3" t="str">
        <f>_xlfn.XLOOKUP(C3,lookup!$A$2:$A$5,lookup!$C$2:$C$5)</f>
        <v>Business</v>
      </c>
      <c r="H3" s="3">
        <v>0</v>
      </c>
    </row>
    <row r="4" spans="1:8" x14ac:dyDescent="0.25">
      <c r="A4" s="3">
        <v>3</v>
      </c>
      <c r="B4" t="s">
        <v>6</v>
      </c>
      <c r="C4" t="s">
        <v>11</v>
      </c>
      <c r="D4" t="s">
        <v>8</v>
      </c>
      <c r="E4">
        <v>65</v>
      </c>
      <c r="F4">
        <v>85</v>
      </c>
      <c r="G4" t="str">
        <f>_xlfn.XLOOKUP(C4,lookup!$A$2:$A$5,lookup!$C$2:$C$5)</f>
        <v>Technology</v>
      </c>
      <c r="H4" s="3">
        <v>1</v>
      </c>
    </row>
    <row r="5" spans="1:8" x14ac:dyDescent="0.25">
      <c r="A5" s="3">
        <v>4</v>
      </c>
      <c r="B5" t="s">
        <v>6</v>
      </c>
      <c r="C5" t="s">
        <v>12</v>
      </c>
      <c r="D5" t="s">
        <v>13</v>
      </c>
      <c r="E5">
        <v>38</v>
      </c>
      <c r="F5">
        <v>60</v>
      </c>
      <c r="G5" t="str">
        <f>_xlfn.XLOOKUP(C5,lookup!$A$2:$A$5,lookup!$C$2:$C$5)</f>
        <v>Technology</v>
      </c>
      <c r="H5" s="3">
        <v>0</v>
      </c>
    </row>
    <row r="6" spans="1:8" x14ac:dyDescent="0.25">
      <c r="A6" s="3">
        <v>5</v>
      </c>
      <c r="B6" t="s">
        <v>14</v>
      </c>
      <c r="C6" t="s">
        <v>7</v>
      </c>
      <c r="D6" t="s">
        <v>10</v>
      </c>
      <c r="E6">
        <v>80</v>
      </c>
      <c r="F6">
        <v>95</v>
      </c>
      <c r="G6" t="str">
        <f>_xlfn.XLOOKUP(C6,lookup!$A$2:$A$5,lookup!$C$2:$C$5)</f>
        <v>Business</v>
      </c>
      <c r="H6" s="3">
        <v>1</v>
      </c>
    </row>
    <row r="7" spans="1:8" x14ac:dyDescent="0.25">
      <c r="A7" s="3">
        <v>6</v>
      </c>
      <c r="B7" t="s">
        <v>14</v>
      </c>
      <c r="C7" t="s">
        <v>9</v>
      </c>
      <c r="D7" t="s">
        <v>13</v>
      </c>
      <c r="E7">
        <v>55</v>
      </c>
      <c r="F7">
        <v>80</v>
      </c>
      <c r="G7" t="str">
        <f>_xlfn.XLOOKUP(C7,lookup!$A$2:$A$5,lookup!$C$2:$C$5)</f>
        <v>Business</v>
      </c>
      <c r="H7" s="3">
        <v>1</v>
      </c>
    </row>
    <row r="8" spans="1:8" x14ac:dyDescent="0.25">
      <c r="A8" s="3">
        <v>7</v>
      </c>
      <c r="B8" t="s">
        <v>14</v>
      </c>
      <c r="C8" t="s">
        <v>11</v>
      </c>
      <c r="D8" t="s">
        <v>8</v>
      </c>
      <c r="E8">
        <v>48</v>
      </c>
      <c r="F8">
        <v>75</v>
      </c>
      <c r="G8" t="str">
        <f>_xlfn.XLOOKUP(C8,lookup!$A$2:$A$5,lookup!$C$2:$C$5)</f>
        <v>Technology</v>
      </c>
      <c r="H8" s="3">
        <v>0</v>
      </c>
    </row>
    <row r="9" spans="1:8" x14ac:dyDescent="0.25">
      <c r="A9" s="3">
        <v>8</v>
      </c>
      <c r="B9" t="s">
        <v>14</v>
      </c>
      <c r="C9" t="s">
        <v>12</v>
      </c>
      <c r="D9" t="s">
        <v>10</v>
      </c>
      <c r="E9">
        <v>68</v>
      </c>
      <c r="F9">
        <v>88</v>
      </c>
      <c r="G9" t="str">
        <f>_xlfn.XLOOKUP(C9,lookup!$A$2:$A$5,lookup!$C$2:$C$5)</f>
        <v>Technology</v>
      </c>
      <c r="H9" s="3">
        <v>1</v>
      </c>
    </row>
    <row r="10" spans="1:8" x14ac:dyDescent="0.25">
      <c r="A10" s="3">
        <v>9</v>
      </c>
      <c r="B10" t="s">
        <v>15</v>
      </c>
      <c r="C10" t="s">
        <v>7</v>
      </c>
      <c r="D10" t="s">
        <v>13</v>
      </c>
      <c r="E10">
        <v>90</v>
      </c>
      <c r="F10">
        <v>98</v>
      </c>
      <c r="G10" t="str">
        <f>_xlfn.XLOOKUP(C10,lookup!$A$2:$A$5,lookup!$C$2:$C$5)</f>
        <v>Business</v>
      </c>
      <c r="H10" s="3">
        <v>1</v>
      </c>
    </row>
    <row r="11" spans="1:8" x14ac:dyDescent="0.25">
      <c r="A11" s="3">
        <v>10</v>
      </c>
      <c r="B11" t="s">
        <v>15</v>
      </c>
      <c r="C11" t="s">
        <v>9</v>
      </c>
      <c r="D11" t="s">
        <v>8</v>
      </c>
      <c r="E11">
        <v>60</v>
      </c>
      <c r="F11">
        <v>82</v>
      </c>
      <c r="G11" t="str">
        <f>_xlfn.XLOOKUP(C11,lookup!$A$2:$A$5,lookup!$C$2:$C$5)</f>
        <v>Business</v>
      </c>
      <c r="H11" s="3">
        <v>1</v>
      </c>
    </row>
    <row r="12" spans="1:8" x14ac:dyDescent="0.25">
      <c r="A12" s="3">
        <v>11</v>
      </c>
      <c r="B12" t="s">
        <v>15</v>
      </c>
      <c r="C12" t="s">
        <v>11</v>
      </c>
      <c r="D12" t="s">
        <v>10</v>
      </c>
      <c r="E12">
        <v>75</v>
      </c>
      <c r="F12">
        <v>92</v>
      </c>
      <c r="G12" t="str">
        <f>_xlfn.XLOOKUP(C12,lookup!$A$2:$A$5,lookup!$C$2:$C$5)</f>
        <v>Technology</v>
      </c>
      <c r="H12" s="3">
        <v>1</v>
      </c>
    </row>
    <row r="13" spans="1:8" x14ac:dyDescent="0.25">
      <c r="A13" s="3">
        <v>12</v>
      </c>
      <c r="B13" t="s">
        <v>15</v>
      </c>
      <c r="C13" t="s">
        <v>12</v>
      </c>
      <c r="D13" t="s">
        <v>13</v>
      </c>
      <c r="E13">
        <v>42</v>
      </c>
      <c r="F13">
        <v>65</v>
      </c>
      <c r="G13" t="str">
        <f>_xlfn.XLOOKUP(C13,lookup!$A$2:$A$5,lookup!$C$2:$C$5)</f>
        <v>Technology</v>
      </c>
      <c r="H13" s="3">
        <v>0</v>
      </c>
    </row>
  </sheetData>
  <autoFilter ref="A1:F13" xr:uid="{82727CBF-EED9-4AB6-802C-3DDA43E651C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9196-D03E-4D6C-9FD5-5EC1A3C9DD6A}">
  <dimension ref="A3:E7"/>
  <sheetViews>
    <sheetView tabSelected="1" workbookViewId="0">
      <selection activeCell="O8" sqref="O8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4" width="4.28515625" bestFit="1" customWidth="1"/>
    <col min="5" max="5" width="11.28515625" bestFit="1" customWidth="1"/>
  </cols>
  <sheetData>
    <row r="3" spans="1:5" x14ac:dyDescent="0.25">
      <c r="A3" s="5" t="s">
        <v>25</v>
      </c>
      <c r="B3" s="5" t="s">
        <v>28</v>
      </c>
    </row>
    <row r="4" spans="1:5" x14ac:dyDescent="0.25">
      <c r="A4" s="5" t="s">
        <v>26</v>
      </c>
      <c r="B4" t="s">
        <v>6</v>
      </c>
      <c r="C4" t="s">
        <v>14</v>
      </c>
      <c r="D4" t="s">
        <v>15</v>
      </c>
      <c r="E4" t="s">
        <v>27</v>
      </c>
    </row>
    <row r="5" spans="1:5" x14ac:dyDescent="0.25">
      <c r="A5" s="6" t="s">
        <v>19</v>
      </c>
      <c r="B5" s="4">
        <v>117</v>
      </c>
      <c r="C5" s="4">
        <v>135</v>
      </c>
      <c r="D5" s="4">
        <v>150</v>
      </c>
      <c r="E5" s="4">
        <v>402</v>
      </c>
    </row>
    <row r="6" spans="1:5" x14ac:dyDescent="0.25">
      <c r="A6" s="6" t="s">
        <v>22</v>
      </c>
      <c r="B6" s="4">
        <v>103</v>
      </c>
      <c r="C6" s="4">
        <v>116</v>
      </c>
      <c r="D6" s="4">
        <v>117</v>
      </c>
      <c r="E6" s="4">
        <v>336</v>
      </c>
    </row>
    <row r="7" spans="1:5" x14ac:dyDescent="0.25">
      <c r="A7" s="6" t="s">
        <v>27</v>
      </c>
      <c r="B7" s="4">
        <v>220</v>
      </c>
      <c r="C7" s="4">
        <v>251</v>
      </c>
      <c r="D7" s="4">
        <v>267</v>
      </c>
      <c r="E7" s="4">
        <v>738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claen</vt:lpstr>
      <vt:lpstr>summary_sheet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lohar</dc:creator>
  <cp:lastModifiedBy>mahesh lohar</cp:lastModifiedBy>
  <dcterms:created xsi:type="dcterms:W3CDTF">2026-10-10T04:48:08Z</dcterms:created>
  <dcterms:modified xsi:type="dcterms:W3CDTF">2026-10-10T06:50:28Z</dcterms:modified>
</cp:coreProperties>
</file>